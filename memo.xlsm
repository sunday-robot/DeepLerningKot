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x03\svn\DeepLearningFromZeroKot\"/>
    </mc:Choice>
  </mc:AlternateContent>
  <bookViews>
    <workbookView xWindow="0" yWindow="0" windowWidth="22944" windowHeight="9804" firstSheet="1" activeTab="7"/>
  </bookViews>
  <sheets>
    <sheet name="3章のネットワークの構造" sheetId="1" r:id="rId1"/>
    <sheet name="Sheet1" sheetId="2" r:id="rId2"/>
    <sheet name="Sheet2" sheetId="3" r:id="rId3"/>
    <sheet name="サンプル重みファイルのデータ構造" sheetId="4" r:id="rId4"/>
    <sheet name="4章のネットワークの構造" sheetId="5" r:id="rId5"/>
    <sheet name="Sheet3" sheetId="6" r:id="rId6"/>
    <sheet name="Sheet4" sheetId="7" r:id="rId7"/>
    <sheet name="Sheet5" sheetId="8" r:id="rId8"/>
  </sheets>
  <functionGroups builtInGroupCount="18"/>
  <calcPr calcId="152511"/>
</workbook>
</file>

<file path=xl/calcChain.xml><?xml version="1.0" encoding="utf-8"?>
<calcChain xmlns="http://schemas.openxmlformats.org/spreadsheetml/2006/main">
  <c r="E2" i="8" l="1"/>
  <c r="U14" i="6" l="1"/>
  <c r="V14" i="6"/>
  <c r="V15" i="6"/>
  <c r="V16" i="6"/>
  <c r="W16" i="6"/>
  <c r="W15" i="6"/>
  <c r="W14" i="6"/>
  <c r="X15" i="6"/>
  <c r="X14" i="6"/>
  <c r="X16" i="6"/>
  <c r="Y16" i="6"/>
  <c r="Y15" i="6"/>
  <c r="Y14" i="6"/>
  <c r="U16" i="6"/>
  <c r="U15" i="6"/>
  <c r="AC3" i="6"/>
  <c r="AE5" i="6"/>
  <c r="AE4" i="6"/>
  <c r="AE3" i="6"/>
  <c r="AD5" i="6"/>
  <c r="AD4" i="6"/>
  <c r="AD3" i="6"/>
  <c r="AC5" i="6"/>
  <c r="AC4" i="6"/>
  <c r="O7" i="6"/>
  <c r="O3" i="6"/>
  <c r="O4" i="6"/>
  <c r="O6" i="6"/>
  <c r="O5" i="6"/>
  <c r="N7" i="6"/>
  <c r="N6" i="6"/>
  <c r="N5" i="6"/>
  <c r="N4" i="6"/>
  <c r="N3" i="6"/>
  <c r="M7" i="6"/>
  <c r="M6" i="6"/>
  <c r="M5" i="6"/>
  <c r="M4" i="6"/>
  <c r="M3" i="6"/>
  <c r="I3" i="2" l="1"/>
  <c r="I2" i="2"/>
  <c r="S5" i="6"/>
  <c r="R3" i="6"/>
  <c r="R7" i="6"/>
  <c r="Q3" i="6"/>
  <c r="S6" i="6"/>
  <c r="Q6" i="6"/>
  <c r="Q4" i="6"/>
  <c r="R6" i="6"/>
  <c r="S4" i="6"/>
  <c r="R4" i="6"/>
  <c r="R5" i="6"/>
  <c r="S7" i="6"/>
  <c r="S3" i="6"/>
  <c r="Q7" i="6"/>
  <c r="Q5" i="6"/>
  <c r="AH5" i="6"/>
  <c r="AH4" i="6"/>
  <c r="AH3" i="6"/>
  <c r="AI5" i="6"/>
  <c r="AI4" i="6"/>
  <c r="AI3" i="6"/>
  <c r="AG3" i="6"/>
  <c r="AG4" i="6"/>
  <c r="AG5" i="6"/>
  <c r="AI14" i="6" l="1"/>
  <c r="AI15" i="6"/>
  <c r="AI16" i="6"/>
  <c r="AH14" i="6"/>
  <c r="AH15" i="6"/>
  <c r="AH16" i="6"/>
  <c r="AG16" i="6"/>
  <c r="AA16" i="6" s="1"/>
  <c r="AG15" i="6"/>
  <c r="AA15" i="6" s="1"/>
  <c r="AG14" i="6"/>
  <c r="AA14" i="6" s="1"/>
</calcChain>
</file>

<file path=xl/sharedStrings.xml><?xml version="1.0" encoding="utf-8"?>
<sst xmlns="http://schemas.openxmlformats.org/spreadsheetml/2006/main" count="92" uniqueCount="84">
  <si>
    <t>入力数</t>
  </si>
  <si>
    <t>入力画像の大きさが28*28=784</t>
  </si>
  <si>
    <t>第１レイヤーのニューロン数</t>
  </si>
  <si>
    <t>なぜこの数なのか説明なし。そもそも説明不能？</t>
  </si>
  <si>
    <t>第2レイヤーのニューロン数</t>
  </si>
  <si>
    <t>第3レイヤーのニューロン数</t>
  </si>
  <si>
    <t>出力数のことでもある。このネットワークが数字を判別するのもなので10個である。</t>
  </si>
  <si>
    <t>レイヤー数が3つである理由も説明なし。これもおそらく説明不能なのだと思う。</t>
  </si>
  <si>
    <t>レイヤー</t>
  </si>
  <si>
    <t>入力</t>
  </si>
  <si>
    <t>出力</t>
  </si>
  <si>
    <t>*</t>
  </si>
  <si>
    <t>=</t>
  </si>
  <si>
    <t>1つの行が一つのニューロンを示す。</t>
  </si>
  <si>
    <t>ディープラーニングの学習</t>
  </si>
  <si>
    <t>以下の処理をエポック数だけ繰り返す：</t>
  </si>
  <si>
    <t>以下をバッチサイズ数だけ繰り返す：</t>
  </si>
  <si>
    <t>教師データから、一組のデータをランダムに選択する。</t>
  </si>
  <si>
    <t>ネットワークの全ての重み値を変数とした評価関数の偏微分値を求める</t>
  </si>
  <si>
    <t>評価関数 := NN(x)</t>
  </si>
  <si>
    <t>教師データから、ランダムにバッチサイズ個のデータを選択する。選択されたデータ群を以降はミニバッチと呼ぶ</t>
  </si>
  <si>
    <t>ミニバッチデータを使用して、NNの全ての重み値を調整する：</t>
  </si>
  <si>
    <t>損失関数の数値微分値を求める。損失関数の引数は、</t>
  </si>
  <si>
    <t>layer[]</t>
  </si>
  <si>
    <t>edgeWeight[inputCCount][neuronCount]</t>
  </si>
  <si>
    <t>bias[neuronCount]</t>
  </si>
  <si>
    <t>入力値</t>
    <rPh sb="0" eb="3">
      <t>ニュウリョクチ</t>
    </rPh>
    <phoneticPr fontId="3"/>
  </si>
  <si>
    <r>
      <t>2</t>
    </r>
    <r>
      <rPr>
        <sz val="11"/>
        <color theme="1"/>
        <rFont val="ＭＳ Ｐゴシック"/>
        <family val="3"/>
        <charset val="128"/>
        <scheme val="minor"/>
      </rPr>
      <t>1*21=784</t>
    </r>
    <phoneticPr fontId="3"/>
  </si>
  <si>
    <t>第1レイヤーのニューロンの個数</t>
    <rPh sb="0" eb="1">
      <t>ダイ</t>
    </rPh>
    <rPh sb="13" eb="15">
      <t>コスウ</t>
    </rPh>
    <phoneticPr fontId="3"/>
  </si>
  <si>
    <t>第２レイヤー（出力層）のニューロンの個数</t>
    <rPh sb="0" eb="1">
      <t>ダイ</t>
    </rPh>
    <rPh sb="7" eb="9">
      <t>シュツリョク</t>
    </rPh>
    <rPh sb="9" eb="10">
      <t>ソウ</t>
    </rPh>
    <rPh sb="18" eb="20">
      <t>コスウ</t>
    </rPh>
    <phoneticPr fontId="3"/>
  </si>
  <si>
    <t>エッジの数</t>
    <rPh sb="4" eb="5">
      <t>カズ</t>
    </rPh>
    <phoneticPr fontId="3"/>
  </si>
  <si>
    <t>50 * (784 + 1) = 39250</t>
    <phoneticPr fontId="3"/>
  </si>
  <si>
    <t>10 * (50 + 1) = 510</t>
    <phoneticPr fontId="3"/>
  </si>
  <si>
    <t xml:space="preserve">        </t>
  </si>
  <si>
    <t xml:space="preserve">        da1 = np.dot(dy, W2.T)</t>
  </si>
  <si>
    <t>W2[L1][L2] = t(z1) * dy</t>
    <phoneticPr fontId="5"/>
  </si>
  <si>
    <t>dy[N][L2] = z2 - t / N</t>
    <phoneticPr fontId="5"/>
  </si>
  <si>
    <t>= t(z1) * (z2 - t) / N</t>
    <phoneticPr fontId="5"/>
  </si>
  <si>
    <t>z1 = sigmoid(a1)</t>
    <phoneticPr fontId="5"/>
  </si>
  <si>
    <t>第1レイヤーはニューロン数5。</t>
    <rPh sb="0" eb="1">
      <t>ダイ</t>
    </rPh>
    <rPh sb="12" eb="13">
      <t>スウ</t>
    </rPh>
    <phoneticPr fontId="5"/>
  </si>
  <si>
    <t>第2レイヤーはニューロン数3。</t>
    <rPh sb="0" eb="1">
      <t>ダイ</t>
    </rPh>
    <rPh sb="12" eb="13">
      <t>スウ</t>
    </rPh>
    <phoneticPr fontId="5"/>
  </si>
  <si>
    <t>a2 = z1 * l2.w + l2.b</t>
    <phoneticPr fontId="5"/>
  </si>
  <si>
    <t>L2</t>
    <phoneticPr fontId="5"/>
  </si>
  <si>
    <t>L1</t>
    <phoneticPr fontId="5"/>
  </si>
  <si>
    <t>a1 = x * L1.w + L1.b</t>
    <phoneticPr fontId="5"/>
  </si>
  <si>
    <t>y = softmax(a2)</t>
    <phoneticPr fontId="5"/>
  </si>
  <si>
    <t>dy = (y - t) / batch_num</t>
    <phoneticPr fontId="5"/>
  </si>
  <si>
    <t>x</t>
    <phoneticPr fontId="5"/>
  </si>
  <si>
    <t>[3][4]</t>
    <phoneticPr fontId="5"/>
  </si>
  <si>
    <t>バッチサイズは3．</t>
    <phoneticPr fontId="5"/>
  </si>
  <si>
    <t>t</t>
    <phoneticPr fontId="5"/>
  </si>
  <si>
    <t>[3][3]</t>
    <phoneticPr fontId="5"/>
  </si>
  <si>
    <t>w</t>
    <phoneticPr fontId="5"/>
  </si>
  <si>
    <t>b</t>
    <phoneticPr fontId="5"/>
  </si>
  <si>
    <t>w</t>
    <phoneticPr fontId="5"/>
  </si>
  <si>
    <t>grads w2 = dot(z1.T, dy)</t>
    <phoneticPr fontId="5"/>
  </si>
  <si>
    <t>grads b2 = sum(dy, axis=0)</t>
    <phoneticPr fontId="5"/>
  </si>
  <si>
    <t>grads w1 = dot(x.t, dz1)</t>
    <phoneticPr fontId="5"/>
  </si>
  <si>
    <t>grads b1 = sum(dz1, axis = 0)</t>
    <phoneticPr fontId="5"/>
  </si>
  <si>
    <t>dz1 = sigmoid_grad(a1) * da1</t>
    <phoneticPr fontId="5"/>
  </si>
  <si>
    <t>da1 = dot(dy, w2.t)</t>
    <phoneticPr fontId="5"/>
  </si>
  <si>
    <t>weights[inputSize]</t>
    <phoneticPr fontId="5"/>
  </si>
  <si>
    <t>推論用データ</t>
    <rPh sb="0" eb="2">
      <t>スイロン</t>
    </rPh>
    <rPh sb="2" eb="3">
      <t>ヨウ</t>
    </rPh>
    <phoneticPr fontId="5"/>
  </si>
  <si>
    <t>学習用一時データ</t>
    <rPh sb="0" eb="3">
      <t>ガクシュウヨウ</t>
    </rPh>
    <rPh sb="3" eb="5">
      <t>イチジ</t>
    </rPh>
    <phoneticPr fontId="5"/>
  </si>
  <si>
    <t>bias</t>
    <phoneticPr fontId="5"/>
  </si>
  <si>
    <t>*inputValues</t>
    <phoneticPr fontId="5"/>
  </si>
  <si>
    <t>Affineレイヤー</t>
    <phoneticPr fontId="5"/>
  </si>
  <si>
    <t>ユニット</t>
    <phoneticPr fontId="5"/>
  </si>
  <si>
    <t>(なし)</t>
    <phoneticPr fontId="5"/>
  </si>
  <si>
    <t>推論時の入力値を参照する。</t>
    <rPh sb="0" eb="2">
      <t>スイロン</t>
    </rPh>
    <rPh sb="2" eb="3">
      <t>ジ</t>
    </rPh>
    <rPh sb="4" eb="6">
      <t>ニュウリョク</t>
    </rPh>
    <rPh sb="6" eb="7">
      <t>チ</t>
    </rPh>
    <rPh sb="8" eb="10">
      <t>サンショウ</t>
    </rPh>
    <phoneticPr fontId="5"/>
  </si>
  <si>
    <t>y = f(x:10, w:1.5) = 8</t>
    <phoneticPr fontId="5"/>
  </si>
  <si>
    <t>Reluは学習によって変化する重み値は一切持たない。</t>
    <rPh sb="5" eb="7">
      <t>ガクシュウ</t>
    </rPh>
    <rPh sb="11" eb="13">
      <t>ヘンカ</t>
    </rPh>
    <rPh sb="15" eb="16">
      <t>オモ</t>
    </rPh>
    <rPh sb="17" eb="18">
      <t>チ</t>
    </rPh>
    <rPh sb="19" eb="21">
      <t>イッサイ</t>
    </rPh>
    <rPh sb="21" eb="22">
      <t>モ</t>
    </rPh>
    <phoneticPr fontId="5"/>
  </si>
  <si>
    <t>Reluレイヤー</t>
    <phoneticPr fontId="5"/>
  </si>
  <si>
    <t>t = 5</t>
    <phoneticPr fontId="5"/>
  </si>
  <si>
    <t>求めたいものは、以下のもの</t>
    <rPh sb="0" eb="1">
      <t>モト</t>
    </rPh>
    <rPh sb="8" eb="10">
      <t>イカ</t>
    </rPh>
    <phoneticPr fontId="5"/>
  </si>
  <si>
    <t>dy/dw</t>
    <phoneticPr fontId="5"/>
  </si>
  <si>
    <t>誤差は、</t>
    <rPh sb="0" eb="2">
      <t>ゴサ</t>
    </rPh>
    <phoneticPr fontId="5"/>
  </si>
  <si>
    <t>e = y - t</t>
  </si>
  <si>
    <t>e = 8 - 5</t>
    <phoneticPr fontId="5"/>
  </si>
  <si>
    <t>e = 8</t>
    <phoneticPr fontId="5"/>
  </si>
  <si>
    <t>x</t>
    <phoneticPr fontId="5"/>
  </si>
  <si>
    <t>w</t>
    <phoneticPr fontId="5"/>
  </si>
  <si>
    <t>x*w+b</t>
    <phoneticPr fontId="3"/>
  </si>
  <si>
    <t>b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</si>
</sst>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ＭＳ Ｐゴシック"/>
      <charset val="128"/>
      <scheme val="minor"/>
    </font>
    <font>
      <sz val="10"/>
      <color theme="1"/>
      <name val="Meiryo"/>
      <charset val="128"/>
    </font>
    <font>
      <sz val="10"/>
      <color theme="1"/>
      <name val="メイリオ"/>
      <charset val="128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charset val="128"/>
      <scheme val="minor"/>
    </font>
    <font>
      <sz val="11"/>
      <color theme="1"/>
      <name val="メイリオ"/>
      <family val="3"/>
      <charset val="128"/>
    </font>
    <font>
      <sz val="10"/>
      <color theme="1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tted">
        <color auto="1"/>
      </bottom>
      <diagonal/>
    </border>
    <border>
      <left style="double">
        <color auto="1"/>
      </left>
      <right style="double">
        <color auto="1"/>
      </right>
      <top style="dotted">
        <color auto="1"/>
      </top>
      <bottom style="dotted">
        <color auto="1"/>
      </bottom>
      <diagonal/>
    </border>
    <border>
      <left style="double">
        <color auto="1"/>
      </left>
      <right style="double">
        <color auto="1"/>
      </right>
      <top style="dotted">
        <color auto="1"/>
      </top>
      <bottom style="double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2" borderId="4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quotePrefix="1" applyFont="1">
      <alignment vertical="center"/>
    </xf>
    <xf numFmtId="0" fontId="0" fillId="0" borderId="0" xfId="0" quotePrefix="1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quotePrefix="1" applyFont="1">
      <alignment vertical="center"/>
    </xf>
    <xf numFmtId="0" fontId="6" fillId="3" borderId="8" xfId="0" applyFont="1" applyFill="1" applyBorder="1">
      <alignment vertical="center"/>
    </xf>
    <xf numFmtId="0" fontId="6" fillId="3" borderId="9" xfId="0" applyFont="1" applyFill="1" applyBorder="1">
      <alignment vertical="center"/>
    </xf>
    <xf numFmtId="0" fontId="6" fillId="3" borderId="10" xfId="0" applyFont="1" applyFill="1" applyBorder="1">
      <alignment vertical="center"/>
    </xf>
    <xf numFmtId="0" fontId="6" fillId="4" borderId="11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6" fillId="4" borderId="13" xfId="0" applyFont="1" applyFill="1" applyBorder="1">
      <alignment vertical="center"/>
    </xf>
    <xf numFmtId="0" fontId="6" fillId="0" borderId="8" xfId="0" applyFont="1" applyBorder="1">
      <alignment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0" fontId="6" fillId="4" borderId="15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6" fillId="4" borderId="14" xfId="0" applyFont="1" applyFill="1" applyBorder="1">
      <alignment vertical="center"/>
    </xf>
    <xf numFmtId="0" fontId="6" fillId="0" borderId="14" xfId="0" applyFont="1" applyBorder="1">
      <alignment vertical="center"/>
    </xf>
    <xf numFmtId="0" fontId="6" fillId="0" borderId="11" xfId="0" applyFont="1" applyBorder="1">
      <alignment vertical="center"/>
    </xf>
    <xf numFmtId="0" fontId="6" fillId="0" borderId="12" xfId="0" applyFont="1" applyBorder="1">
      <alignment vertical="center"/>
    </xf>
    <xf numFmtId="0" fontId="6" fillId="0" borderId="15" xfId="0" applyFont="1" applyBorder="1">
      <alignment vertical="center"/>
    </xf>
    <xf numFmtId="0" fontId="7" fillId="0" borderId="0" xfId="0" applyFont="1">
      <alignment vertical="center"/>
    </xf>
    <xf numFmtId="0" fontId="7" fillId="0" borderId="16" xfId="0" applyFont="1" applyBorder="1">
      <alignment vertical="center"/>
    </xf>
    <xf numFmtId="0" fontId="7" fillId="0" borderId="17" xfId="0" applyFont="1" applyBorder="1">
      <alignment vertical="center"/>
    </xf>
    <xf numFmtId="0" fontId="7" fillId="0" borderId="18" xfId="0" applyFont="1" applyBorder="1">
      <alignment vertical="center"/>
    </xf>
    <xf numFmtId="0" fontId="7" fillId="0" borderId="4" xfId="0" applyFont="1" applyBorder="1">
      <alignment vertical="center"/>
    </xf>
    <xf numFmtId="0" fontId="7" fillId="5" borderId="4" xfId="0" applyFont="1" applyFill="1" applyBorder="1">
      <alignment vertical="center"/>
    </xf>
    <xf numFmtId="0" fontId="7" fillId="5" borderId="16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"/>
  <sheetViews>
    <sheetView workbookViewId="0">
      <selection activeCell="B28" sqref="B28"/>
    </sheetView>
  </sheetViews>
  <sheetFormatPr defaultColWidth="8.88671875" defaultRowHeight="16.2"/>
  <cols>
    <col min="1" max="1" width="26.44140625" style="12" customWidth="1"/>
    <col min="2" max="2" width="8.88671875" style="12"/>
    <col min="3" max="3" width="75.5546875" style="12" customWidth="1"/>
    <col min="4" max="16384" width="8.88671875" style="12"/>
  </cols>
  <sheetData>
    <row r="1" spans="1:3">
      <c r="A1" s="12" t="s">
        <v>0</v>
      </c>
      <c r="B1" s="12">
        <v>784</v>
      </c>
      <c r="C1" s="13" t="s">
        <v>1</v>
      </c>
    </row>
    <row r="2" spans="1:3">
      <c r="A2" s="12" t="s">
        <v>2</v>
      </c>
      <c r="B2" s="12">
        <v>50</v>
      </c>
      <c r="C2" s="12" t="s">
        <v>3</v>
      </c>
    </row>
    <row r="3" spans="1:3">
      <c r="A3" s="12" t="s">
        <v>4</v>
      </c>
      <c r="B3" s="12">
        <v>100</v>
      </c>
      <c r="C3" s="12" t="s">
        <v>3</v>
      </c>
    </row>
    <row r="4" spans="1:3">
      <c r="A4" s="12" t="s">
        <v>5</v>
      </c>
      <c r="B4" s="12">
        <v>10</v>
      </c>
      <c r="C4" s="12" t="s">
        <v>6</v>
      </c>
    </row>
    <row r="6" spans="1:3">
      <c r="A6" s="12" t="s">
        <v>7</v>
      </c>
    </row>
  </sheetData>
  <phoneticPr fontId="3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workbookViewId="0">
      <selection activeCell="A11" sqref="A11"/>
    </sheetView>
  </sheetViews>
  <sheetFormatPr defaultColWidth="9" defaultRowHeight="13.2"/>
  <cols>
    <col min="1" max="3" width="5.88671875" customWidth="1"/>
    <col min="4" max="4" width="1.21875" customWidth="1"/>
    <col min="5" max="5" width="5.88671875" customWidth="1"/>
    <col min="6" max="6" width="2.5546875" customWidth="1"/>
    <col min="7" max="7" width="5.5546875" customWidth="1"/>
    <col min="8" max="8" width="2.5546875" customWidth="1"/>
    <col min="9" max="9" width="5.5546875" customWidth="1"/>
  </cols>
  <sheetData>
    <row r="1" spans="1:9">
      <c r="A1" t="s">
        <v>8</v>
      </c>
      <c r="G1" t="s">
        <v>9</v>
      </c>
      <c r="I1" t="s">
        <v>10</v>
      </c>
    </row>
    <row r="2" spans="1:9">
      <c r="A2" s="3">
        <v>0.1</v>
      </c>
      <c r="B2" s="4">
        <v>0.2</v>
      </c>
      <c r="C2" s="5">
        <v>0.3</v>
      </c>
      <c r="D2" s="6"/>
      <c r="E2" s="7">
        <v>0.01</v>
      </c>
      <c r="F2" s="14" t="s">
        <v>11</v>
      </c>
      <c r="G2" s="8">
        <v>1</v>
      </c>
      <c r="H2" s="14" t="s">
        <v>12</v>
      </c>
      <c r="I2" s="11">
        <f>A2*G$2+B2*G$3+C2*G$4+E2*G$6</f>
        <v>1.41</v>
      </c>
    </row>
    <row r="3" spans="1:9">
      <c r="A3" s="3">
        <v>0.4</v>
      </c>
      <c r="B3" s="4">
        <v>0.5</v>
      </c>
      <c r="C3" s="5">
        <v>0.6</v>
      </c>
      <c r="D3" s="6"/>
      <c r="E3" s="7">
        <v>0.02</v>
      </c>
      <c r="G3" s="9">
        <v>2</v>
      </c>
      <c r="I3" s="11">
        <f>A3*G$2+B3*G$3+C3*G$4+E3*G$6</f>
        <v>3.2199999999999998</v>
      </c>
    </row>
    <row r="4" spans="1:9">
      <c r="G4" s="10">
        <v>3</v>
      </c>
    </row>
    <row r="5" spans="1:9" ht="3.6" customHeight="1"/>
    <row r="6" spans="1:9">
      <c r="G6" s="7">
        <v>1</v>
      </c>
    </row>
    <row r="9" spans="1:9">
      <c r="A9" t="s">
        <v>13</v>
      </c>
    </row>
  </sheetData>
  <phoneticPr fontId="3"/>
  <pageMargins left="0.69930555555555596" right="0.69930555555555596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4"/>
  <sheetViews>
    <sheetView showGridLines="0" workbookViewId="0">
      <selection activeCell="C8" sqref="C8"/>
    </sheetView>
  </sheetViews>
  <sheetFormatPr defaultColWidth="8.88671875" defaultRowHeight="13.2"/>
  <sheetData>
    <row r="1" spans="1:3">
      <c r="A1" t="s">
        <v>14</v>
      </c>
    </row>
    <row r="3" spans="1:3">
      <c r="A3" t="s">
        <v>15</v>
      </c>
    </row>
    <row r="4" spans="1:3">
      <c r="B4" t="s">
        <v>16</v>
      </c>
    </row>
    <row r="5" spans="1:3">
      <c r="C5" t="s">
        <v>17</v>
      </c>
    </row>
    <row r="6" spans="1:3">
      <c r="C6" t="s">
        <v>18</v>
      </c>
    </row>
    <row r="7" spans="1:3">
      <c r="C7" t="s">
        <v>19</v>
      </c>
    </row>
    <row r="12" spans="1:3">
      <c r="B12" t="s">
        <v>20</v>
      </c>
    </row>
    <row r="13" spans="1:3">
      <c r="B13" t="s">
        <v>21</v>
      </c>
    </row>
    <row r="14" spans="1:3">
      <c r="C14" t="s">
        <v>22</v>
      </c>
    </row>
  </sheetData>
  <phoneticPr fontId="3"/>
  <pageMargins left="0.75" right="0.75" top="1" bottom="1" header="0.51180555555555596" footer="0.5118055555555559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workbookViewId="0">
      <selection activeCell="F6" sqref="F6"/>
    </sheetView>
  </sheetViews>
  <sheetFormatPr defaultColWidth="8.88671875" defaultRowHeight="16.2"/>
  <cols>
    <col min="1" max="16384" width="8.88671875" style="1"/>
  </cols>
  <sheetData>
    <row r="1" spans="1:2">
      <c r="A1" s="2" t="s">
        <v>23</v>
      </c>
    </row>
    <row r="2" spans="1:2">
      <c r="B2" s="2" t="s">
        <v>24</v>
      </c>
    </row>
    <row r="3" spans="1:2">
      <c r="B3" s="2" t="s">
        <v>25</v>
      </c>
    </row>
  </sheetData>
  <phoneticPr fontId="3"/>
  <pageMargins left="0.75" right="0.75" top="1" bottom="1" header="0.51180555555555596" footer="0.5118055555555559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6"/>
  <sheetViews>
    <sheetView workbookViewId="0">
      <selection activeCell="J8" sqref="J8"/>
    </sheetView>
  </sheetViews>
  <sheetFormatPr defaultRowHeight="13.2"/>
  <sheetData>
    <row r="1" spans="1:7">
      <c r="A1" s="15" t="s">
        <v>26</v>
      </c>
    </row>
    <row r="2" spans="1:7">
      <c r="B2" s="15" t="s">
        <v>27</v>
      </c>
    </row>
    <row r="3" spans="1:7">
      <c r="A3" s="15" t="s">
        <v>28</v>
      </c>
      <c r="F3" s="15" t="s">
        <v>30</v>
      </c>
    </row>
    <row r="4" spans="1:7">
      <c r="B4">
        <v>50</v>
      </c>
      <c r="G4" s="15" t="s">
        <v>31</v>
      </c>
    </row>
    <row r="5" spans="1:7">
      <c r="A5" s="15" t="s">
        <v>29</v>
      </c>
      <c r="F5" s="15" t="s">
        <v>30</v>
      </c>
    </row>
    <row r="6" spans="1:7">
      <c r="B6">
        <v>10</v>
      </c>
      <c r="G6" s="15" t="s">
        <v>32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V17"/>
  <sheetViews>
    <sheetView showGridLines="0" topLeftCell="J1" workbookViewId="0">
      <selection activeCell="M15" sqref="M15"/>
    </sheetView>
  </sheetViews>
  <sheetFormatPr defaultRowHeight="17.399999999999999"/>
  <cols>
    <col min="1" max="9" width="8.88671875" style="16"/>
    <col min="10" max="10" width="2.33203125" style="16" customWidth="1"/>
    <col min="11" max="15" width="8.88671875" style="16"/>
    <col min="16" max="16" width="3.88671875" style="16" customWidth="1"/>
    <col min="17" max="20" width="8.88671875" style="16"/>
    <col min="21" max="21" width="10.33203125" style="16" bestFit="1" customWidth="1"/>
    <col min="22" max="25" width="8.88671875" style="16"/>
    <col min="26" max="26" width="2.6640625" style="28" customWidth="1"/>
    <col min="27" max="32" width="8.88671875" style="16"/>
    <col min="33" max="35" width="9.33203125" style="16" customWidth="1"/>
    <col min="36" max="16384" width="8.88671875" style="16"/>
  </cols>
  <sheetData>
    <row r="1" spans="2:48">
      <c r="B1" s="16" t="s">
        <v>47</v>
      </c>
      <c r="F1" s="16" t="s">
        <v>43</v>
      </c>
      <c r="G1" s="16" t="s">
        <v>39</v>
      </c>
      <c r="U1" s="16" t="s">
        <v>42</v>
      </c>
      <c r="V1" s="16" t="s">
        <v>40</v>
      </c>
    </row>
    <row r="2" spans="2:48" ht="18" thickBot="1">
      <c r="B2" s="16" t="s">
        <v>48</v>
      </c>
      <c r="F2" s="16" t="s">
        <v>52</v>
      </c>
      <c r="K2" s="16" t="s">
        <v>53</v>
      </c>
      <c r="M2" s="16" t="s">
        <v>44</v>
      </c>
      <c r="Q2" s="16" t="s">
        <v>38</v>
      </c>
      <c r="U2" s="16" t="s">
        <v>54</v>
      </c>
      <c r="AA2" s="16" t="s">
        <v>53</v>
      </c>
      <c r="AC2" s="16" t="s">
        <v>41</v>
      </c>
      <c r="AG2" s="16" t="s">
        <v>45</v>
      </c>
    </row>
    <row r="3" spans="2:48" ht="18.600000000000001" thickTop="1" thickBot="1">
      <c r="B3" s="18">
        <v>1</v>
      </c>
      <c r="C3" s="18">
        <v>5</v>
      </c>
      <c r="D3" s="18">
        <v>9</v>
      </c>
      <c r="F3" s="21">
        <v>13</v>
      </c>
      <c r="G3" s="22">
        <v>14</v>
      </c>
      <c r="H3" s="22">
        <v>15</v>
      </c>
      <c r="I3" s="27">
        <v>16</v>
      </c>
      <c r="J3" s="28"/>
      <c r="K3" s="29">
        <v>17</v>
      </c>
      <c r="M3" s="24">
        <f>dot($F3:$I3,B$3:B$6)+$K3</f>
        <v>167</v>
      </c>
      <c r="N3" s="24">
        <f>dot($F3:$I3,C$3:C$6)+$K3</f>
        <v>399</v>
      </c>
      <c r="O3" s="24">
        <f t="shared" ref="O3:O6" si="0">dot($F3:$I3,D$3:D$6)+$K3</f>
        <v>631</v>
      </c>
      <c r="Q3" s="24">
        <f>sigmoid(M3)</f>
        <v>0.54165323936760423</v>
      </c>
      <c r="R3" s="24">
        <f t="shared" ref="R3:R7" si="1">sigmoid(N3)</f>
        <v>0.59844737567362516</v>
      </c>
      <c r="S3" s="24">
        <f t="shared" ref="S3:S7" si="2">sigmoid(O3)</f>
        <v>0.65271617456652398</v>
      </c>
      <c r="U3" s="21">
        <v>38</v>
      </c>
      <c r="V3" s="22">
        <v>39</v>
      </c>
      <c r="W3" s="22">
        <v>40</v>
      </c>
      <c r="X3" s="22">
        <v>41</v>
      </c>
      <c r="Y3" s="23">
        <v>42</v>
      </c>
      <c r="AA3" s="29">
        <v>43</v>
      </c>
      <c r="AC3" s="24">
        <f t="shared" ref="AC3:AE5" si="3">dot($U3:$Y3,Q$3:Q$7)+$AA3</f>
        <v>156.87651606969732</v>
      </c>
      <c r="AD3" s="24">
        <f t="shared" si="3"/>
        <v>175.29608371569179</v>
      </c>
      <c r="AE3" s="24">
        <f t="shared" si="3"/>
        <v>191.14192870010206</v>
      </c>
      <c r="AG3" s="24">
        <f t="shared" ref="AG3:AI5" si="4">softMax(AC3,AC$3:AC$5)</f>
        <v>156.87651605455542</v>
      </c>
      <c r="AH3" s="24">
        <f t="shared" si="4"/>
        <v>175.29608371459702</v>
      </c>
      <c r="AI3" s="24">
        <f t="shared" si="4"/>
        <v>191.14192869998942</v>
      </c>
    </row>
    <row r="4" spans="2:48" ht="18" thickBot="1">
      <c r="B4" s="19">
        <v>2</v>
      </c>
      <c r="C4" s="19">
        <v>6</v>
      </c>
      <c r="D4" s="19">
        <v>10</v>
      </c>
      <c r="F4" s="21">
        <v>18</v>
      </c>
      <c r="G4" s="22">
        <v>19</v>
      </c>
      <c r="H4" s="22">
        <v>20</v>
      </c>
      <c r="I4" s="27">
        <v>21</v>
      </c>
      <c r="J4" s="28"/>
      <c r="K4" s="29">
        <v>22</v>
      </c>
      <c r="M4" s="25">
        <f t="shared" ref="M4:M7" si="5">dot($F4:$I4,B$3:B$6)+$K4</f>
        <v>222</v>
      </c>
      <c r="N4" s="25">
        <f t="shared" ref="N4:N7" si="6">dot($F4:$I4,C$3:C$6)+$K4</f>
        <v>534</v>
      </c>
      <c r="O4" s="25">
        <f t="shared" si="0"/>
        <v>846</v>
      </c>
      <c r="Q4" s="25">
        <f t="shared" ref="Q4:Q7" si="7">sigmoid(M4)</f>
        <v>0.55527317929759901</v>
      </c>
      <c r="R4" s="25">
        <f t="shared" si="1"/>
        <v>0.63041556427168188</v>
      </c>
      <c r="S4" s="25">
        <f t="shared" si="2"/>
        <v>0.69972737859204992</v>
      </c>
      <c r="U4" s="21">
        <v>44</v>
      </c>
      <c r="V4" s="22">
        <v>45</v>
      </c>
      <c r="W4" s="22">
        <v>46</v>
      </c>
      <c r="X4" s="22">
        <v>47</v>
      </c>
      <c r="Y4" s="23">
        <v>48</v>
      </c>
      <c r="AA4" s="29">
        <v>49</v>
      </c>
      <c r="AC4" s="25">
        <f t="shared" si="3"/>
        <v>179.93777544899257</v>
      </c>
      <c r="AD4" s="25">
        <f t="shared" si="3"/>
        <v>201.09529911467999</v>
      </c>
      <c r="AE4" s="25">
        <f t="shared" si="3"/>
        <v>219.30185825057094</v>
      </c>
      <c r="AG4" s="25">
        <f t="shared" si="4"/>
        <v>179.9377754316248</v>
      </c>
      <c r="AH4" s="25">
        <f t="shared" si="4"/>
        <v>201.09529911342409</v>
      </c>
      <c r="AI4" s="25">
        <f t="shared" si="4"/>
        <v>219.30185825044171</v>
      </c>
    </row>
    <row r="5" spans="2:48" ht="18" thickBot="1">
      <c r="B5" s="19">
        <v>3</v>
      </c>
      <c r="C5" s="19">
        <v>7</v>
      </c>
      <c r="D5" s="19">
        <v>11</v>
      </c>
      <c r="F5" s="21">
        <v>23</v>
      </c>
      <c r="G5" s="22">
        <v>24</v>
      </c>
      <c r="H5" s="22">
        <v>25</v>
      </c>
      <c r="I5" s="27">
        <v>26</v>
      </c>
      <c r="J5" s="28"/>
      <c r="K5" s="29">
        <v>27</v>
      </c>
      <c r="M5" s="25">
        <f t="shared" si="5"/>
        <v>277</v>
      </c>
      <c r="N5" s="25">
        <f t="shared" si="6"/>
        <v>669</v>
      </c>
      <c r="O5" s="25">
        <f t="shared" si="0"/>
        <v>1061</v>
      </c>
      <c r="Q5" s="25">
        <f t="shared" si="7"/>
        <v>0.56881058103919613</v>
      </c>
      <c r="R5" s="25">
        <f t="shared" si="1"/>
        <v>0.66127920632295012</v>
      </c>
      <c r="S5" s="25">
        <f t="shared" si="2"/>
        <v>0.74288160021876337</v>
      </c>
      <c r="U5" s="21">
        <v>50</v>
      </c>
      <c r="V5" s="22">
        <v>51</v>
      </c>
      <c r="W5" s="22">
        <v>52</v>
      </c>
      <c r="X5" s="22">
        <v>53</v>
      </c>
      <c r="Y5" s="23">
        <v>54</v>
      </c>
      <c r="AA5" s="29">
        <v>55</v>
      </c>
      <c r="AC5" s="26">
        <f t="shared" si="3"/>
        <v>202.99903482828785</v>
      </c>
      <c r="AD5" s="26">
        <f t="shared" si="3"/>
        <v>226.89451451366818</v>
      </c>
      <c r="AE5" s="26">
        <f t="shared" si="3"/>
        <v>247.46178780103983</v>
      </c>
      <c r="AG5" s="26">
        <f t="shared" si="4"/>
        <v>202.99903480869418</v>
      </c>
      <c r="AH5" s="26">
        <f t="shared" si="4"/>
        <v>226.89451451225116</v>
      </c>
      <c r="AI5" s="26">
        <f t="shared" si="4"/>
        <v>247.461787800894</v>
      </c>
    </row>
    <row r="6" spans="2:48" ht="18" thickBot="1">
      <c r="B6" s="20">
        <v>4</v>
      </c>
      <c r="C6" s="20">
        <v>8</v>
      </c>
      <c r="D6" s="20">
        <v>12</v>
      </c>
      <c r="F6" s="21">
        <v>28</v>
      </c>
      <c r="G6" s="22">
        <v>29</v>
      </c>
      <c r="H6" s="22">
        <v>30</v>
      </c>
      <c r="I6" s="27">
        <v>31</v>
      </c>
      <c r="J6" s="28"/>
      <c r="K6" s="29">
        <v>32</v>
      </c>
      <c r="M6" s="25">
        <f t="shared" si="5"/>
        <v>332</v>
      </c>
      <c r="N6" s="25">
        <f t="shared" si="6"/>
        <v>804</v>
      </c>
      <c r="O6" s="25">
        <f t="shared" si="0"/>
        <v>1276</v>
      </c>
      <c r="Q6" s="25">
        <f t="shared" si="7"/>
        <v>0.58224592792802221</v>
      </c>
      <c r="R6" s="25">
        <f t="shared" si="1"/>
        <v>0.69082946907014697</v>
      </c>
      <c r="S6" s="25">
        <f t="shared" si="2"/>
        <v>0.78176811870050966</v>
      </c>
      <c r="Z6" s="16"/>
    </row>
    <row r="7" spans="2:48" ht="18.600000000000001" thickTop="1" thickBot="1">
      <c r="F7" s="21">
        <v>33</v>
      </c>
      <c r="G7" s="22">
        <v>34</v>
      </c>
      <c r="H7" s="22">
        <v>35</v>
      </c>
      <c r="I7" s="27">
        <v>36</v>
      </c>
      <c r="J7" s="28"/>
      <c r="K7" s="29">
        <v>37</v>
      </c>
      <c r="M7" s="26">
        <f t="shared" si="5"/>
        <v>387</v>
      </c>
      <c r="N7" s="26">
        <f t="shared" si="6"/>
        <v>939</v>
      </c>
      <c r="O7" s="26">
        <f>dot($F7:$I7,D$3:D$6)+$K7</f>
        <v>1491</v>
      </c>
      <c r="Q7" s="26">
        <f t="shared" si="7"/>
        <v>0.59556030225012435</v>
      </c>
      <c r="R7" s="26">
        <f t="shared" si="1"/>
        <v>0.71889761782629547</v>
      </c>
      <c r="S7" s="26">
        <f t="shared" si="2"/>
        <v>0.81622831966697051</v>
      </c>
      <c r="AG7" s="16" t="s">
        <v>50</v>
      </c>
    </row>
    <row r="8" spans="2:48" ht="18" thickBot="1">
      <c r="AG8" s="16" t="s">
        <v>51</v>
      </c>
    </row>
    <row r="9" spans="2:48" ht="18" thickTop="1">
      <c r="M9" s="16" t="s">
        <v>34</v>
      </c>
      <c r="AG9" s="18">
        <v>150</v>
      </c>
      <c r="AH9" s="18">
        <v>176</v>
      </c>
      <c r="AI9" s="18">
        <v>190</v>
      </c>
    </row>
    <row r="10" spans="2:48">
      <c r="B10" s="16" t="s">
        <v>49</v>
      </c>
      <c r="AG10" s="19">
        <v>180</v>
      </c>
      <c r="AH10" s="19">
        <v>200</v>
      </c>
      <c r="AI10" s="19">
        <v>229</v>
      </c>
    </row>
    <row r="11" spans="2:48" ht="18" thickBot="1">
      <c r="AG11" s="20">
        <v>200</v>
      </c>
      <c r="AH11" s="20">
        <v>227</v>
      </c>
      <c r="AI11" s="20">
        <v>250</v>
      </c>
    </row>
    <row r="12" spans="2:48" ht="18" thickTop="1"/>
    <row r="13" spans="2:48" ht="18" thickBot="1">
      <c r="F13" s="16" t="s">
        <v>57</v>
      </c>
      <c r="K13" s="16" t="s">
        <v>58</v>
      </c>
      <c r="Q13" s="16" t="s">
        <v>59</v>
      </c>
      <c r="U13" s="16" t="s">
        <v>55</v>
      </c>
      <c r="AA13" s="16" t="s">
        <v>56</v>
      </c>
      <c r="AG13" s="16" t="s">
        <v>46</v>
      </c>
    </row>
    <row r="14" spans="2:48" ht="18.600000000000001" thickTop="1" thickBot="1">
      <c r="M14" s="16" t="s">
        <v>60</v>
      </c>
      <c r="U14" s="31">
        <f>dot(Q3:S3,$AG14:$AI14)</f>
        <v>4.10944447887141</v>
      </c>
      <c r="V14" s="32">
        <f>dot(Q4:S4,$AG14:$AI14)</f>
        <v>4.3216980778533403</v>
      </c>
      <c r="W14" s="32">
        <f>dot(Q5:S5,$AG14:$AI14)</f>
        <v>4.5223898072928721</v>
      </c>
      <c r="X14" s="32">
        <f>dot(Q6:S6,$AG14:$AI14)</f>
        <v>4.710054808433692</v>
      </c>
      <c r="Y14" s="33">
        <f>dot(Q7:S7,$AG14:$AI14)</f>
        <v>4.8838993782719173</v>
      </c>
      <c r="AA14" s="30">
        <f>SUM(AG14:AI14)</f>
        <v>2.4381761563806208</v>
      </c>
      <c r="AG14" s="24">
        <f t="shared" ref="AG14:AI16" si="8">(AG3-AG9)/3</f>
        <v>2.2921720181851413</v>
      </c>
      <c r="AH14" s="24">
        <f t="shared" si="8"/>
        <v>-0.23463876180099419</v>
      </c>
      <c r="AI14" s="24">
        <f t="shared" si="8"/>
        <v>0.38064289999647372</v>
      </c>
      <c r="AS14" s="16" t="s">
        <v>36</v>
      </c>
    </row>
    <row r="15" spans="2:48" ht="18" thickBot="1">
      <c r="U15" s="31">
        <f>dot(Q3:S3,$AG15:$AI15)</f>
        <v>-3.7185750303051317E-2</v>
      </c>
      <c r="V15" s="32">
        <f>dot(Q4:S4,$AG15:$AI15)</f>
        <v>-3.910640146971063E-2</v>
      </c>
      <c r="W15" s="32">
        <f>dot(Q5:S5,$AG15:$AI15)</f>
        <v>-4.0922431002947082E-2</v>
      </c>
      <c r="X15" s="32">
        <f>dot(Q6:S6,$AG15:$AI15)</f>
        <v>-4.2620583614309496E-2</v>
      </c>
      <c r="Y15" s="33">
        <f>dot(Q7:S7,$AG15:$AI15)</f>
        <v>-4.4193677203670019E-2</v>
      </c>
      <c r="AA15" s="30">
        <f>SUM(AG15:AI15)</f>
        <v>-2.8883557348364661</v>
      </c>
      <c r="AG15" s="25">
        <f t="shared" si="8"/>
        <v>-2.0741522791733285E-2</v>
      </c>
      <c r="AH15" s="25">
        <f t="shared" si="8"/>
        <v>0.36509970447469681</v>
      </c>
      <c r="AI15" s="25">
        <f t="shared" si="8"/>
        <v>-3.2327139165194296</v>
      </c>
      <c r="AS15" s="16" t="s">
        <v>35</v>
      </c>
      <c r="AV15" s="17" t="s">
        <v>37</v>
      </c>
    </row>
    <row r="16" spans="2:48" ht="18" thickBot="1">
      <c r="U16" s="31">
        <f>dot(Q3:S3,$AG16:$AI16)</f>
        <v>1.7922399858816656</v>
      </c>
      <c r="V16" s="32">
        <f>dot(Q4:S4,$AG16:$AI16)</f>
        <v>1.8848095264116744</v>
      </c>
      <c r="W16" s="32">
        <f>dot(Q5:S5,$AG16:$AI16)</f>
        <v>1.9723366226375991</v>
      </c>
      <c r="X16" s="32">
        <f>dot(Q6:S6,$AG16:$AI16)</f>
        <v>2.0541824099999522</v>
      </c>
      <c r="Y16" s="33">
        <f>dot(Q7:S7,$AG16:$AI16)</f>
        <v>2.1300007331320443</v>
      </c>
      <c r="AA16" s="30">
        <f>SUM(AG16:AI16)</f>
        <v>0.11844570727978032</v>
      </c>
      <c r="AG16" s="26">
        <f t="shared" si="8"/>
        <v>0.9996782695647255</v>
      </c>
      <c r="AH16" s="26">
        <f t="shared" si="8"/>
        <v>-3.5161829249612232E-2</v>
      </c>
      <c r="AI16" s="26">
        <f t="shared" si="8"/>
        <v>-0.84607073303533298</v>
      </c>
    </row>
    <row r="17" spans="37:37">
      <c r="AK17" s="16" t="s">
        <v>33</v>
      </c>
    </row>
  </sheetData>
  <phoneticPr fontId="5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"/>
  <sheetViews>
    <sheetView topLeftCell="A7" workbookViewId="0">
      <selection activeCell="D16" sqref="D16:G31"/>
    </sheetView>
  </sheetViews>
  <sheetFormatPr defaultRowHeight="16.2"/>
  <cols>
    <col min="1" max="16384" width="8.88671875" style="34"/>
  </cols>
  <sheetData>
    <row r="1" spans="1:7">
      <c r="A1" s="34" t="s">
        <v>66</v>
      </c>
    </row>
    <row r="2" spans="1:7">
      <c r="B2" s="34" t="s">
        <v>67</v>
      </c>
    </row>
    <row r="3" spans="1:7">
      <c r="C3" s="34" t="s">
        <v>62</v>
      </c>
    </row>
    <row r="4" spans="1:7">
      <c r="D4" s="34" t="s">
        <v>61</v>
      </c>
    </row>
    <row r="5" spans="1:7">
      <c r="D5" s="34" t="s">
        <v>64</v>
      </c>
    </row>
    <row r="6" spans="1:7">
      <c r="C6" s="34" t="s">
        <v>63</v>
      </c>
    </row>
    <row r="7" spans="1:7">
      <c r="D7" s="34" t="s">
        <v>65</v>
      </c>
      <c r="G7" s="34" t="s">
        <v>69</v>
      </c>
    </row>
    <row r="8" spans="1:7">
      <c r="A8" s="34" t="s">
        <v>72</v>
      </c>
    </row>
    <row r="9" spans="1:7">
      <c r="B9" s="34" t="s">
        <v>67</v>
      </c>
    </row>
    <row r="10" spans="1:7">
      <c r="C10" s="34" t="s">
        <v>62</v>
      </c>
    </row>
    <row r="11" spans="1:7">
      <c r="D11" s="34" t="s">
        <v>68</v>
      </c>
      <c r="G11" s="34" t="s">
        <v>71</v>
      </c>
    </row>
    <row r="12" spans="1:7">
      <c r="C12" s="34" t="s">
        <v>63</v>
      </c>
    </row>
    <row r="13" spans="1:7">
      <c r="D13" s="34" t="s">
        <v>65</v>
      </c>
      <c r="G13" s="34" t="s">
        <v>69</v>
      </c>
    </row>
    <row r="17" spans="1:1">
      <c r="A17" s="34" t="s">
        <v>70</v>
      </c>
    </row>
    <row r="18" spans="1:1">
      <c r="A18" s="34" t="s">
        <v>73</v>
      </c>
    </row>
    <row r="20" spans="1:1">
      <c r="A20" s="34" t="s">
        <v>74</v>
      </c>
    </row>
    <row r="21" spans="1:1">
      <c r="A21" s="34" t="s">
        <v>75</v>
      </c>
    </row>
    <row r="22" spans="1:1">
      <c r="A22" s="34" t="s">
        <v>76</v>
      </c>
    </row>
    <row r="23" spans="1:1">
      <c r="A23" s="34" t="s">
        <v>77</v>
      </c>
    </row>
    <row r="24" spans="1:1">
      <c r="A24" s="34" t="s">
        <v>78</v>
      </c>
    </row>
    <row r="25" spans="1:1">
      <c r="A25" s="34" t="s">
        <v>79</v>
      </c>
    </row>
  </sheetData>
  <phoneticPr fontId="5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"/>
  <sheetViews>
    <sheetView tabSelected="1" workbookViewId="0">
      <selection activeCell="D4" sqref="D4"/>
    </sheetView>
  </sheetViews>
  <sheetFormatPr defaultRowHeight="16.2"/>
  <cols>
    <col min="1" max="16384" width="8.88671875" style="34"/>
  </cols>
  <sheetData>
    <row r="1" spans="1:5">
      <c r="A1" s="34" t="s">
        <v>80</v>
      </c>
      <c r="C1" s="39" t="s">
        <v>81</v>
      </c>
      <c r="D1" s="40" t="s">
        <v>83</v>
      </c>
      <c r="E1" s="34" t="s">
        <v>82</v>
      </c>
    </row>
    <row r="2" spans="1:5">
      <c r="A2" s="34">
        <v>1</v>
      </c>
      <c r="C2" s="38">
        <v>6</v>
      </c>
      <c r="D2" s="35">
        <v>11</v>
      </c>
      <c r="E2" s="34">
        <f>A2*C2+A10*C3+A12*C4+A14*C5+A16*C6+D2</f>
        <v>141</v>
      </c>
    </row>
    <row r="3" spans="1:5">
      <c r="C3" s="38">
        <v>7</v>
      </c>
      <c r="D3" s="36"/>
    </row>
    <row r="4" spans="1:5">
      <c r="C4" s="38">
        <v>8</v>
      </c>
      <c r="D4" s="36"/>
    </row>
    <row r="5" spans="1:5">
      <c r="C5" s="38">
        <v>9</v>
      </c>
      <c r="D5" s="36"/>
    </row>
    <row r="6" spans="1:5">
      <c r="C6" s="38">
        <v>10</v>
      </c>
      <c r="D6" s="37"/>
    </row>
    <row r="10" spans="1:5">
      <c r="A10" s="34">
        <v>2</v>
      </c>
    </row>
    <row r="12" spans="1:5">
      <c r="A12" s="34">
        <v>3</v>
      </c>
    </row>
    <row r="14" spans="1:5">
      <c r="A14" s="34">
        <v>4</v>
      </c>
    </row>
    <row r="16" spans="1:5">
      <c r="A16" s="34">
        <v>5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3章のネットワークの構造</vt:lpstr>
      <vt:lpstr>Sheet1</vt:lpstr>
      <vt:lpstr>Sheet2</vt:lpstr>
      <vt:lpstr>サンプル重みファイルのデータ構造</vt:lpstr>
      <vt:lpstr>4章のネットワークの構造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秋山光弘</dc:creator>
  <cp:lastModifiedBy>秋山光弘</cp:lastModifiedBy>
  <cp:lastPrinted>2018-10-06T06:24:00Z</cp:lastPrinted>
  <dcterms:created xsi:type="dcterms:W3CDTF">2018-10-06T06:21:00Z</dcterms:created>
  <dcterms:modified xsi:type="dcterms:W3CDTF">2019-03-30T05:33:43Z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1033-10.2.0.7587</vt:lpwstr>
  </property>
</Properties>
</file>